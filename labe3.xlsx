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esktop\IskIn\YPM-IskIm\"/>
    </mc:Choice>
  </mc:AlternateContent>
  <bookViews>
    <workbookView xWindow="0" yWindow="0" windowWidth="16380" windowHeight="8190" tabRatio="500"/>
  </bookViews>
  <sheets>
    <sheet name="Лист1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6" i="1" l="1"/>
  <c r="M35" i="1"/>
  <c r="M34" i="1"/>
  <c r="M33" i="1"/>
  <c r="M32" i="1"/>
  <c r="M31" i="1"/>
  <c r="I31" i="1"/>
  <c r="J31" i="1" s="1"/>
  <c r="K31" i="1" s="1"/>
  <c r="M30" i="1"/>
  <c r="J30" i="1"/>
  <c r="K30" i="1" s="1"/>
  <c r="I30" i="1"/>
  <c r="M29" i="1"/>
  <c r="I29" i="1"/>
  <c r="J29" i="1" s="1"/>
  <c r="K29" i="1" s="1"/>
  <c r="M28" i="1"/>
  <c r="I28" i="1"/>
  <c r="J28" i="1" s="1"/>
  <c r="K28" i="1" s="1"/>
  <c r="I27" i="1"/>
  <c r="J27" i="1" s="1"/>
  <c r="K27" i="1" s="1"/>
  <c r="I26" i="1"/>
  <c r="J26" i="1" s="1"/>
  <c r="K26" i="1" s="1"/>
  <c r="I25" i="1"/>
  <c r="J25" i="1" s="1"/>
  <c r="K25" i="1" s="1"/>
  <c r="I24" i="1"/>
  <c r="J24" i="1" s="1"/>
  <c r="K24" i="1" s="1"/>
  <c r="I23" i="1"/>
  <c r="J23" i="1" s="1"/>
  <c r="K23" i="1" s="1"/>
  <c r="I22" i="1"/>
  <c r="J22" i="1" s="1"/>
  <c r="K22" i="1" s="1"/>
  <c r="I21" i="1"/>
  <c r="J21" i="1" s="1"/>
  <c r="K21" i="1" s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I2" i="1"/>
  <c r="J2" i="1" s="1"/>
  <c r="K2" i="1" s="1"/>
</calcChain>
</file>

<file path=xl/sharedStrings.xml><?xml version="1.0" encoding="utf-8"?>
<sst xmlns="http://schemas.openxmlformats.org/spreadsheetml/2006/main" count="43" uniqueCount="15">
  <si>
    <t>класс</t>
  </si>
  <si>
    <t>x0</t>
  </si>
  <si>
    <t>x1</t>
  </si>
  <si>
    <t>x2</t>
  </si>
  <si>
    <t>w0</t>
  </si>
  <si>
    <t>w1</t>
  </si>
  <si>
    <t>w2</t>
  </si>
  <si>
    <t>z</t>
  </si>
  <si>
    <t>y</t>
  </si>
  <si>
    <t>верно?</t>
  </si>
  <si>
    <t>-</t>
  </si>
  <si>
    <t>+</t>
  </si>
  <si>
    <t>X</t>
  </si>
  <si>
    <t>X2</t>
  </si>
  <si>
    <t>X2=-(w0+w1x)/w2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</si>
</sst>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1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2" xfId="0" applyFont="1" applyBorder="1" applyAlignment="1">
      <alignment horizontal="center" vertical="center"/>
    </xf>
    <xf numFmtId="0" fontId="0" fillId="0" borderId="0" xfId="0" applyFont="1"/>
    <xf numFmtId="0" fontId="0" fillId="0" borderId="0" xfId="0" applyBorder="1"/>
  </cellXfs>
  <cellStyles count="1">
    <cellStyle name="Обычный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AE3F3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5.4596041786970596E-3"/>
          <c:y val="0"/>
          <c:w val="0.97653420127040802"/>
          <c:h val="0.98275665182140004"/>
        </c:manualLayout>
      </c:layout>
      <c:scatterChart>
        <c:scatterStyle val="lineMarker"/>
        <c:varyColors val="0"/>
        <c:ser>
          <c:idx val="0"/>
          <c:order val="0"/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Pt>
            <c:idx val="0"/>
            <c:marker>
              <c:spPr>
                <a:solidFill>
                  <a:srgbClr val="2A6099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542-40D1-9C6F-5E77D2813FE7}"/>
              </c:ext>
            </c:extLst>
          </c:dPt>
          <c:dPt>
            <c:idx val="1"/>
            <c:marker>
              <c:spPr>
                <a:solidFill>
                  <a:srgbClr val="2A6099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542-40D1-9C6F-5E77D2813FE7}"/>
              </c:ext>
            </c:extLst>
          </c:dPt>
          <c:dPt>
            <c:idx val="2"/>
            <c:marker>
              <c:spPr>
                <a:solidFill>
                  <a:srgbClr val="2A6099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542-40D1-9C6F-5E77D2813FE7}"/>
              </c:ext>
            </c:extLst>
          </c:dPt>
          <c:dPt>
            <c:idx val="3"/>
            <c:marker>
              <c:spPr>
                <a:solidFill>
                  <a:srgbClr val="2A6099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542-40D1-9C6F-5E77D2813FE7}"/>
              </c:ext>
            </c:extLst>
          </c:dPt>
          <c:dPt>
            <c:idx val="4"/>
            <c:marker>
              <c:spPr>
                <a:solidFill>
                  <a:srgbClr val="2A6099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542-40D1-9C6F-5E77D2813FE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5-B542-40D1-9C6F-5E77D2813FE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0-B542-40D1-9C6F-5E77D2813FE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542-40D1-9C6F-5E77D2813FE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2-B542-40D1-9C6F-5E77D2813FE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542-40D1-9C6F-5E77D2813FE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B542-40D1-9C6F-5E77D2813FE7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542-40D1-9C6F-5E77D2813F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Лист1!$D$2:$D$11</c:f>
              <c:numCache>
                <c:formatCode>General</c:formatCode>
                <c:ptCount val="10"/>
                <c:pt idx="0">
                  <c:v>-0.2</c:v>
                </c:pt>
                <c:pt idx="1">
                  <c:v>-1.2</c:v>
                </c:pt>
                <c:pt idx="2">
                  <c:v>-0.8</c:v>
                </c:pt>
                <c:pt idx="3">
                  <c:v>-0.3</c:v>
                </c:pt>
                <c:pt idx="4">
                  <c:v>-1.1000000000000001</c:v>
                </c:pt>
                <c:pt idx="5">
                  <c:v>0.7</c:v>
                </c:pt>
                <c:pt idx="6">
                  <c:v>1.5</c:v>
                </c:pt>
                <c:pt idx="7">
                  <c:v>0.8</c:v>
                </c:pt>
                <c:pt idx="8">
                  <c:v>-0.7</c:v>
                </c:pt>
                <c:pt idx="9">
                  <c:v>0.7</c:v>
                </c:pt>
              </c:numCache>
            </c:numRef>
          </c:xVal>
          <c:yVal>
            <c:numRef>
              <c:f>Лист1!$E$2:$E$11</c:f>
              <c:numCache>
                <c:formatCode>General</c:formatCode>
                <c:ptCount val="10"/>
                <c:pt idx="0">
                  <c:v>0.2</c:v>
                </c:pt>
                <c:pt idx="1">
                  <c:v>-0.5</c:v>
                </c:pt>
                <c:pt idx="2">
                  <c:v>1</c:v>
                </c:pt>
                <c:pt idx="3">
                  <c:v>1.2</c:v>
                </c:pt>
                <c:pt idx="4">
                  <c:v>0.5</c:v>
                </c:pt>
                <c:pt idx="5">
                  <c:v>0.7</c:v>
                </c:pt>
                <c:pt idx="6">
                  <c:v>1.4</c:v>
                </c:pt>
                <c:pt idx="7">
                  <c:v>-0.5</c:v>
                </c:pt>
                <c:pt idx="8">
                  <c:v>-1.2</c:v>
                </c:pt>
                <c:pt idx="9">
                  <c:v>-1.9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542-40D1-9C6F-5E77D2813FE7}"/>
            </c:ext>
          </c:extLst>
        </c:ser>
        <c:ser>
          <c:idx val="1"/>
          <c:order val="1"/>
          <c:tx>
            <c:v>Прямая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38562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Лист1!$L$28:$L$36</c:f>
              <c:numCache>
                <c:formatCode>General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Лист1!$M$28:$M$36</c:f>
              <c:numCache>
                <c:formatCode>General</c:formatCode>
                <c:ptCount val="9"/>
                <c:pt idx="0">
                  <c:v>-2.8571428571428572</c:v>
                </c:pt>
                <c:pt idx="1">
                  <c:v>-2.1428571428571428</c:v>
                </c:pt>
                <c:pt idx="2">
                  <c:v>-1.4285714285714286</c:v>
                </c:pt>
                <c:pt idx="3">
                  <c:v>-0.7142857142857143</c:v>
                </c:pt>
                <c:pt idx="4">
                  <c:v>0</c:v>
                </c:pt>
                <c:pt idx="5">
                  <c:v>0.7142857142857143</c:v>
                </c:pt>
                <c:pt idx="6">
                  <c:v>1.4285714285714286</c:v>
                </c:pt>
                <c:pt idx="7">
                  <c:v>2.1428571428571428</c:v>
                </c:pt>
                <c:pt idx="8">
                  <c:v>2.8571428571428572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42-40D1-9C6F-5E77D2813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98239"/>
        <c:axId val="1100220"/>
      </c:scatterChart>
      <c:valAx>
        <c:axId val="87998239"/>
        <c:scaling>
          <c:orientation val="minMax"/>
          <c:max val="3"/>
          <c:min val="-2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1100220"/>
        <c:crosses val="autoZero"/>
        <c:crossBetween val="midCat"/>
      </c:valAx>
      <c:valAx>
        <c:axId val="1100220"/>
        <c:scaling>
          <c:orientation val="minMax"/>
          <c:min val="-2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87998239"/>
        <c:crosses val="autoZero"/>
        <c:crossBetween val="midCat"/>
      </c:valAx>
      <c:spPr>
        <a:solidFill>
          <a:srgbClr val="DAE3F3"/>
        </a:solidFill>
        <a:ln w="0">
          <a:noFill/>
        </a:ln>
      </c:spPr>
    </c:plotArea>
    <c:plotVisOnly val="1"/>
    <c:dispBlanksAs val="gap"/>
    <c:showDLblsOverMax val="1"/>
  </c:chart>
  <c:spPr>
    <a:noFill/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ru-RU" sz="1400" b="0" strike="noStrike" spc="-1">
                <a:solidFill>
                  <a:srgbClr val="595959"/>
                </a:solidFill>
                <a:latin typeface="Calibri"/>
              </a:rPr>
              <a:t>Заглавие диаграммы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6300658122618602E-2"/>
          <c:y val="2.5459317585301799E-2"/>
          <c:w val="0.90342916522341499"/>
          <c:h val="0.77729658792650902"/>
        </c:manualLayout>
      </c:layout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Лист1!$L$28:$L$36</c:f>
              <c:numCache>
                <c:formatCode>General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Лист1!$M$28:$M$36</c:f>
              <c:numCache>
                <c:formatCode>General</c:formatCode>
                <c:ptCount val="9"/>
                <c:pt idx="0">
                  <c:v>-2.8571428571428572</c:v>
                </c:pt>
                <c:pt idx="1">
                  <c:v>-2.1428571428571428</c:v>
                </c:pt>
                <c:pt idx="2">
                  <c:v>-1.4285714285714286</c:v>
                </c:pt>
                <c:pt idx="3">
                  <c:v>-0.7142857142857143</c:v>
                </c:pt>
                <c:pt idx="4">
                  <c:v>0</c:v>
                </c:pt>
                <c:pt idx="5">
                  <c:v>0.7142857142857143</c:v>
                </c:pt>
                <c:pt idx="6">
                  <c:v>1.4285714285714286</c:v>
                </c:pt>
                <c:pt idx="7">
                  <c:v>2.1428571428571428</c:v>
                </c:pt>
                <c:pt idx="8">
                  <c:v>2.8571428571428572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B-4BB4-B912-69BA4E5C9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69816"/>
        <c:axId val="51738820"/>
      </c:scatterChart>
      <c:valAx>
        <c:axId val="5376981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51738820"/>
        <c:crosses val="autoZero"/>
        <c:crossBetween val="midCat"/>
      </c:valAx>
      <c:valAx>
        <c:axId val="517388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ru-RU"/>
          </a:p>
        </c:txPr>
        <c:crossAx val="537698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371520</xdr:colOff>
      <xdr:row>13</xdr:row>
      <xdr:rowOff>121320</xdr:rowOff>
    </xdr:from>
    <xdr:to>
      <xdr:col>23</xdr:col>
      <xdr:colOff>352080</xdr:colOff>
      <xdr:row>28</xdr:row>
      <xdr:rowOff>149400</xdr:rowOff>
    </xdr:to>
    <xdr:graphicFrame macro="">
      <xdr:nvGraphicFramePr>
        <xdr:cNvPr id="2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457200</xdr:colOff>
      <xdr:row>14</xdr:row>
      <xdr:rowOff>113040</xdr:rowOff>
    </xdr:from>
    <xdr:to>
      <xdr:col>32</xdr:col>
      <xdr:colOff>151920</xdr:colOff>
      <xdr:row>27</xdr:row>
      <xdr:rowOff>148320</xdr:rowOff>
    </xdr:to>
    <xdr:graphicFrame macro="">
      <xdr:nvGraphicFramePr>
        <xdr:cNvPr id="3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topLeftCell="A7" zoomScaleNormal="100" workbookViewId="0">
      <selection activeCell="G34" sqref="G34"/>
    </sheetView>
  </sheetViews>
  <sheetFormatPr defaultColWidth="8.5703125" defaultRowHeight="15" x14ac:dyDescent="0.25"/>
  <cols>
    <col min="1" max="1" width="10.140625" customWidth="1"/>
    <col min="2" max="2" width="9.28515625" hidden="1" customWidth="1"/>
    <col min="5" max="5" width="8.85546875" style="1" customWidth="1"/>
  </cols>
  <sheetData>
    <row r="1" spans="1:11" x14ac:dyDescent="0.25">
      <c r="A1" s="2" t="s">
        <v>0</v>
      </c>
      <c r="B1" s="3"/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3" t="s">
        <v>7</v>
      </c>
      <c r="J1" s="4" t="s">
        <v>8</v>
      </c>
      <c r="K1" s="6" t="s">
        <v>9</v>
      </c>
    </row>
    <row r="2" spans="1:11" x14ac:dyDescent="0.25">
      <c r="A2" s="7" t="s">
        <v>10</v>
      </c>
      <c r="B2" s="8">
        <v>1</v>
      </c>
      <c r="C2" s="9">
        <v>1</v>
      </c>
      <c r="D2" s="9">
        <v>-0.2</v>
      </c>
      <c r="E2" s="9">
        <v>0.2</v>
      </c>
      <c r="F2" s="1">
        <v>-2</v>
      </c>
      <c r="G2" s="9">
        <v>-0.7</v>
      </c>
      <c r="H2" s="9">
        <v>-1.4</v>
      </c>
      <c r="I2" s="8">
        <f t="shared" ref="I2:I31" si="0">$C2*$F2+$D2*$G2+$E2*$H2</f>
        <v>-2.14</v>
      </c>
      <c r="J2" s="9">
        <f t="shared" ref="J2:J31" si="1">IF(I2&gt;=0,1,0)</f>
        <v>0</v>
      </c>
      <c r="K2" s="10">
        <f t="shared" ref="K2:K31" si="2">IF(OR(AND(J2=1,A2="+"),AND(J2=0,A2="-")),1,0)</f>
        <v>1</v>
      </c>
    </row>
    <row r="3" spans="1:11" x14ac:dyDescent="0.25">
      <c r="A3" s="7" t="s">
        <v>10</v>
      </c>
      <c r="B3" s="8">
        <v>1</v>
      </c>
      <c r="C3" s="9">
        <v>1</v>
      </c>
      <c r="D3" s="9">
        <v>-1.2</v>
      </c>
      <c r="E3" s="9">
        <v>-0.5</v>
      </c>
      <c r="F3" s="1">
        <v>-2</v>
      </c>
      <c r="G3" s="9">
        <v>-0.7</v>
      </c>
      <c r="H3" s="9">
        <v>-1.4</v>
      </c>
      <c r="I3" s="8">
        <f t="shared" si="0"/>
        <v>-0.46000000000000019</v>
      </c>
      <c r="J3" s="9">
        <f t="shared" si="1"/>
        <v>0</v>
      </c>
      <c r="K3" s="10">
        <f t="shared" si="2"/>
        <v>1</v>
      </c>
    </row>
    <row r="4" spans="1:11" x14ac:dyDescent="0.25">
      <c r="A4" s="7" t="s">
        <v>10</v>
      </c>
      <c r="B4" s="8">
        <v>1</v>
      </c>
      <c r="C4" s="9">
        <v>1</v>
      </c>
      <c r="D4" s="9">
        <v>-0.8</v>
      </c>
      <c r="E4" s="9">
        <v>1</v>
      </c>
      <c r="F4" s="1">
        <v>-2</v>
      </c>
      <c r="G4" s="9">
        <v>-0.7</v>
      </c>
      <c r="H4" s="9">
        <v>-1.4</v>
      </c>
      <c r="I4" s="8">
        <f t="shared" si="0"/>
        <v>-2.84</v>
      </c>
      <c r="J4" s="9">
        <f t="shared" si="1"/>
        <v>0</v>
      </c>
      <c r="K4" s="10">
        <f t="shared" si="2"/>
        <v>1</v>
      </c>
    </row>
    <row r="5" spans="1:11" x14ac:dyDescent="0.25">
      <c r="A5" s="7" t="s">
        <v>10</v>
      </c>
      <c r="B5" s="8">
        <v>1</v>
      </c>
      <c r="C5" s="9">
        <v>1</v>
      </c>
      <c r="D5" s="9">
        <v>-0.3</v>
      </c>
      <c r="E5" s="9">
        <v>1.2</v>
      </c>
      <c r="F5" s="1">
        <v>-2</v>
      </c>
      <c r="G5" s="9">
        <v>-0.7</v>
      </c>
      <c r="H5" s="9">
        <v>-1.4</v>
      </c>
      <c r="I5" s="8">
        <f t="shared" si="0"/>
        <v>-3.4699999999999998</v>
      </c>
      <c r="J5" s="9">
        <f t="shared" si="1"/>
        <v>0</v>
      </c>
      <c r="K5" s="10">
        <f t="shared" si="2"/>
        <v>1</v>
      </c>
    </row>
    <row r="6" spans="1:11" x14ac:dyDescent="0.25">
      <c r="A6" s="7" t="s">
        <v>10</v>
      </c>
      <c r="B6" s="8">
        <v>1</v>
      </c>
      <c r="C6" s="9">
        <v>1</v>
      </c>
      <c r="D6" s="9">
        <v>-1.1000000000000001</v>
      </c>
      <c r="E6" s="9">
        <v>0.5</v>
      </c>
      <c r="F6" s="1">
        <v>-2</v>
      </c>
      <c r="G6" s="9">
        <v>-0.7</v>
      </c>
      <c r="H6" s="9">
        <v>-1.4</v>
      </c>
      <c r="I6" s="8">
        <f t="shared" si="0"/>
        <v>-1.93</v>
      </c>
      <c r="J6" s="9">
        <f t="shared" si="1"/>
        <v>0</v>
      </c>
      <c r="K6" s="10">
        <f t="shared" si="2"/>
        <v>1</v>
      </c>
    </row>
    <row r="7" spans="1:11" x14ac:dyDescent="0.25">
      <c r="A7" s="7" t="s">
        <v>11</v>
      </c>
      <c r="B7" s="8">
        <v>0</v>
      </c>
      <c r="C7" s="9">
        <v>1</v>
      </c>
      <c r="D7" s="9">
        <v>0.7</v>
      </c>
      <c r="E7" s="9">
        <v>0.7</v>
      </c>
      <c r="F7" s="1">
        <v>-2</v>
      </c>
      <c r="G7" s="9">
        <v>-0.7</v>
      </c>
      <c r="H7" s="9">
        <v>-1.4</v>
      </c>
      <c r="I7" s="8">
        <f t="shared" si="0"/>
        <v>-3.4699999999999998</v>
      </c>
      <c r="J7" s="9">
        <f t="shared" si="1"/>
        <v>0</v>
      </c>
      <c r="K7" s="10">
        <f t="shared" si="2"/>
        <v>0</v>
      </c>
    </row>
    <row r="8" spans="1:11" x14ac:dyDescent="0.25">
      <c r="A8" s="7" t="s">
        <v>11</v>
      </c>
      <c r="B8" s="8">
        <v>0</v>
      </c>
      <c r="C8" s="9">
        <v>1</v>
      </c>
      <c r="D8" s="9">
        <v>1.5</v>
      </c>
      <c r="E8" s="9">
        <v>1.4</v>
      </c>
      <c r="F8" s="1">
        <v>-1</v>
      </c>
      <c r="G8" s="9">
        <v>0</v>
      </c>
      <c r="H8" s="9">
        <v>-0.7</v>
      </c>
      <c r="I8" s="8">
        <f t="shared" si="0"/>
        <v>-1.98</v>
      </c>
      <c r="J8" s="9">
        <f t="shared" si="1"/>
        <v>0</v>
      </c>
      <c r="K8" s="10">
        <f t="shared" si="2"/>
        <v>0</v>
      </c>
    </row>
    <row r="9" spans="1:11" x14ac:dyDescent="0.25">
      <c r="A9" s="7" t="s">
        <v>11</v>
      </c>
      <c r="B9" s="8">
        <v>0</v>
      </c>
      <c r="C9" s="9">
        <v>1</v>
      </c>
      <c r="D9" s="9">
        <v>0.8</v>
      </c>
      <c r="E9" s="9">
        <v>-0.5</v>
      </c>
      <c r="F9" s="1">
        <v>0</v>
      </c>
      <c r="G9" s="9">
        <v>1.5</v>
      </c>
      <c r="H9" s="9">
        <v>0.7</v>
      </c>
      <c r="I9" s="8">
        <f t="shared" si="0"/>
        <v>0.8500000000000002</v>
      </c>
      <c r="J9" s="9">
        <f t="shared" si="1"/>
        <v>1</v>
      </c>
      <c r="K9" s="10">
        <f t="shared" si="2"/>
        <v>1</v>
      </c>
    </row>
    <row r="10" spans="1:11" x14ac:dyDescent="0.25">
      <c r="A10" s="7" t="s">
        <v>11</v>
      </c>
      <c r="B10" s="8">
        <v>0</v>
      </c>
      <c r="C10" s="9">
        <v>1</v>
      </c>
      <c r="D10" s="9">
        <v>-0.7</v>
      </c>
      <c r="E10" s="9">
        <v>-1.2</v>
      </c>
      <c r="F10" s="1">
        <v>0</v>
      </c>
      <c r="G10" s="9">
        <v>1.5</v>
      </c>
      <c r="H10" s="9">
        <v>0.7</v>
      </c>
      <c r="I10" s="8">
        <f t="shared" si="0"/>
        <v>-1.8899999999999997</v>
      </c>
      <c r="J10" s="9">
        <f t="shared" si="1"/>
        <v>0</v>
      </c>
      <c r="K10" s="10">
        <f t="shared" si="2"/>
        <v>0</v>
      </c>
    </row>
    <row r="11" spans="1:11" x14ac:dyDescent="0.25">
      <c r="A11" s="11" t="s">
        <v>11</v>
      </c>
      <c r="B11" s="12">
        <v>0</v>
      </c>
      <c r="C11" s="13">
        <v>1</v>
      </c>
      <c r="D11" s="13">
        <v>0.7</v>
      </c>
      <c r="E11" s="13">
        <v>-1.9</v>
      </c>
      <c r="F11" s="1">
        <v>1</v>
      </c>
      <c r="G11" s="9">
        <v>0.8</v>
      </c>
      <c r="H11" s="9">
        <v>-0.5</v>
      </c>
      <c r="I11" s="12">
        <f t="shared" si="0"/>
        <v>2.5099999999999998</v>
      </c>
      <c r="J11" s="13">
        <f t="shared" si="1"/>
        <v>1</v>
      </c>
      <c r="K11" s="14">
        <f t="shared" si="2"/>
        <v>1</v>
      </c>
    </row>
    <row r="12" spans="1:11" x14ac:dyDescent="0.25">
      <c r="A12" s="15" t="s">
        <v>10</v>
      </c>
      <c r="B12" s="3"/>
      <c r="C12" s="4">
        <v>1</v>
      </c>
      <c r="D12" s="9">
        <v>-0.2</v>
      </c>
      <c r="E12" s="9">
        <v>0.2</v>
      </c>
      <c r="F12" s="1">
        <v>1</v>
      </c>
      <c r="G12" s="9">
        <v>0.8</v>
      </c>
      <c r="H12" s="9">
        <v>-0.5</v>
      </c>
      <c r="I12" s="3">
        <f t="shared" si="0"/>
        <v>0.74</v>
      </c>
      <c r="J12" s="4">
        <f t="shared" si="1"/>
        <v>1</v>
      </c>
      <c r="K12" s="6">
        <f t="shared" si="2"/>
        <v>0</v>
      </c>
    </row>
    <row r="13" spans="1:11" x14ac:dyDescent="0.25">
      <c r="A13" s="7" t="s">
        <v>10</v>
      </c>
      <c r="B13" s="8"/>
      <c r="C13" s="9">
        <v>1</v>
      </c>
      <c r="D13" s="9">
        <v>-1.2</v>
      </c>
      <c r="E13" s="9">
        <v>-0.5</v>
      </c>
      <c r="F13" s="1">
        <v>0</v>
      </c>
      <c r="G13" s="9">
        <v>1</v>
      </c>
      <c r="H13" s="9">
        <v>-0.7</v>
      </c>
      <c r="I13" s="8">
        <f t="shared" si="0"/>
        <v>-0.85</v>
      </c>
      <c r="J13" s="9">
        <f t="shared" si="1"/>
        <v>0</v>
      </c>
      <c r="K13" s="10">
        <f t="shared" si="2"/>
        <v>1</v>
      </c>
    </row>
    <row r="14" spans="1:11" x14ac:dyDescent="0.25">
      <c r="A14" s="7" t="s">
        <v>10</v>
      </c>
      <c r="B14" s="8"/>
      <c r="C14" s="9">
        <v>1</v>
      </c>
      <c r="D14" s="9">
        <v>-0.8</v>
      </c>
      <c r="E14" s="9">
        <v>1</v>
      </c>
      <c r="F14" s="1">
        <v>0</v>
      </c>
      <c r="G14" s="9">
        <v>1</v>
      </c>
      <c r="H14" s="9">
        <v>-0.7</v>
      </c>
      <c r="I14" s="8">
        <f t="shared" si="0"/>
        <v>-1.5</v>
      </c>
      <c r="J14" s="9">
        <f t="shared" si="1"/>
        <v>0</v>
      </c>
      <c r="K14" s="10">
        <f t="shared" si="2"/>
        <v>1</v>
      </c>
    </row>
    <row r="15" spans="1:11" x14ac:dyDescent="0.25">
      <c r="A15" s="7" t="s">
        <v>10</v>
      </c>
      <c r="B15" s="8"/>
      <c r="C15" s="9">
        <v>1</v>
      </c>
      <c r="D15" s="9">
        <v>-0.3</v>
      </c>
      <c r="E15" s="9">
        <v>1.2</v>
      </c>
      <c r="F15" s="1">
        <v>0</v>
      </c>
      <c r="G15" s="9">
        <v>1</v>
      </c>
      <c r="H15" s="9">
        <v>-0.7</v>
      </c>
      <c r="I15" s="8">
        <f t="shared" si="0"/>
        <v>-1.1399999999999999</v>
      </c>
      <c r="J15" s="9">
        <f t="shared" si="1"/>
        <v>0</v>
      </c>
      <c r="K15" s="10">
        <f t="shared" si="2"/>
        <v>1</v>
      </c>
    </row>
    <row r="16" spans="1:11" x14ac:dyDescent="0.25">
      <c r="A16" s="7" t="s">
        <v>10</v>
      </c>
      <c r="B16" s="8"/>
      <c r="C16" s="9">
        <v>1</v>
      </c>
      <c r="D16" s="9">
        <v>-1.1000000000000001</v>
      </c>
      <c r="E16" s="9">
        <v>0.5</v>
      </c>
      <c r="F16" s="1">
        <v>0</v>
      </c>
      <c r="G16" s="9">
        <v>1</v>
      </c>
      <c r="H16" s="9">
        <v>-0.7</v>
      </c>
      <c r="I16" s="8">
        <f t="shared" si="0"/>
        <v>-1.4500000000000002</v>
      </c>
      <c r="J16" s="9">
        <f t="shared" si="1"/>
        <v>0</v>
      </c>
      <c r="K16" s="10">
        <f t="shared" si="2"/>
        <v>1</v>
      </c>
    </row>
    <row r="17" spans="1:15" x14ac:dyDescent="0.25">
      <c r="A17" s="7" t="s">
        <v>11</v>
      </c>
      <c r="B17" s="8"/>
      <c r="C17" s="9">
        <v>1</v>
      </c>
      <c r="D17" s="9">
        <v>0.7</v>
      </c>
      <c r="E17" s="9">
        <v>0.7</v>
      </c>
      <c r="F17" s="1">
        <v>0</v>
      </c>
      <c r="G17" s="9">
        <v>1</v>
      </c>
      <c r="H17" s="9">
        <v>-0.7</v>
      </c>
      <c r="I17" s="8">
        <f t="shared" si="0"/>
        <v>0.21000000000000002</v>
      </c>
      <c r="J17" s="9">
        <f t="shared" si="1"/>
        <v>1</v>
      </c>
      <c r="K17" s="10">
        <f t="shared" si="2"/>
        <v>1</v>
      </c>
    </row>
    <row r="18" spans="1:15" x14ac:dyDescent="0.25">
      <c r="A18" s="7" t="s">
        <v>11</v>
      </c>
      <c r="B18" s="8"/>
      <c r="C18" s="9">
        <v>1</v>
      </c>
      <c r="D18" s="9">
        <v>1.5</v>
      </c>
      <c r="E18" s="9">
        <v>1.4</v>
      </c>
      <c r="F18" s="1">
        <v>0</v>
      </c>
      <c r="G18" s="9">
        <v>1</v>
      </c>
      <c r="H18" s="9">
        <v>-0.7</v>
      </c>
      <c r="I18" s="8">
        <f t="shared" si="0"/>
        <v>0.52000000000000013</v>
      </c>
      <c r="J18" s="9">
        <f t="shared" si="1"/>
        <v>1</v>
      </c>
      <c r="K18" s="10">
        <f t="shared" si="2"/>
        <v>1</v>
      </c>
    </row>
    <row r="19" spans="1:15" x14ac:dyDescent="0.25">
      <c r="A19" s="7" t="s">
        <v>11</v>
      </c>
      <c r="B19" s="8"/>
      <c r="C19" s="9">
        <v>1</v>
      </c>
      <c r="D19" s="9">
        <v>0.8</v>
      </c>
      <c r="E19" s="9">
        <v>-0.5</v>
      </c>
      <c r="F19" s="1">
        <v>0</v>
      </c>
      <c r="G19" s="9">
        <v>1</v>
      </c>
      <c r="H19" s="9">
        <v>-0.7</v>
      </c>
      <c r="I19" s="8">
        <f t="shared" si="0"/>
        <v>1.1499999999999999</v>
      </c>
      <c r="J19" s="9">
        <f t="shared" si="1"/>
        <v>1</v>
      </c>
      <c r="K19" s="10">
        <f t="shared" si="2"/>
        <v>1</v>
      </c>
    </row>
    <row r="20" spans="1:15" x14ac:dyDescent="0.25">
      <c r="A20" s="7" t="s">
        <v>11</v>
      </c>
      <c r="B20" s="8"/>
      <c r="C20" s="9">
        <v>1</v>
      </c>
      <c r="D20" s="9">
        <v>-0.7</v>
      </c>
      <c r="E20" s="9">
        <v>-1.2</v>
      </c>
      <c r="F20" s="1">
        <v>0</v>
      </c>
      <c r="G20" s="9">
        <v>1</v>
      </c>
      <c r="H20" s="9">
        <v>-0.7</v>
      </c>
      <c r="I20" s="8">
        <f t="shared" si="0"/>
        <v>0.14000000000000001</v>
      </c>
      <c r="J20" s="9">
        <f t="shared" si="1"/>
        <v>1</v>
      </c>
      <c r="K20" s="10">
        <f t="shared" si="2"/>
        <v>1</v>
      </c>
    </row>
    <row r="21" spans="1:15" x14ac:dyDescent="0.25">
      <c r="A21" s="11" t="s">
        <v>11</v>
      </c>
      <c r="B21" s="12"/>
      <c r="C21" s="13">
        <v>1</v>
      </c>
      <c r="D21" s="13">
        <v>0.7</v>
      </c>
      <c r="E21" s="13">
        <v>-1.9</v>
      </c>
      <c r="F21" s="1">
        <v>0</v>
      </c>
      <c r="G21" s="9">
        <v>1</v>
      </c>
      <c r="H21" s="9">
        <v>-0.7</v>
      </c>
      <c r="I21" s="12">
        <f t="shared" si="0"/>
        <v>2.0299999999999998</v>
      </c>
      <c r="J21" s="13">
        <f t="shared" si="1"/>
        <v>1</v>
      </c>
      <c r="K21" s="14">
        <f t="shared" si="2"/>
        <v>1</v>
      </c>
    </row>
    <row r="22" spans="1:15" x14ac:dyDescent="0.25">
      <c r="A22" s="15" t="s">
        <v>10</v>
      </c>
      <c r="B22" s="3"/>
      <c r="C22" s="4">
        <v>1</v>
      </c>
      <c r="D22" s="9">
        <v>-0.2</v>
      </c>
      <c r="E22" s="9">
        <v>0.2</v>
      </c>
      <c r="F22" s="1">
        <v>0</v>
      </c>
      <c r="G22" s="9">
        <v>1</v>
      </c>
      <c r="H22" s="9">
        <v>-0.7</v>
      </c>
      <c r="I22" s="3">
        <f t="shared" si="0"/>
        <v>-0.33999999999999997</v>
      </c>
      <c r="J22" s="4">
        <f t="shared" si="1"/>
        <v>0</v>
      </c>
      <c r="K22" s="6">
        <f t="shared" si="2"/>
        <v>1</v>
      </c>
    </row>
    <row r="23" spans="1:15" x14ac:dyDescent="0.25">
      <c r="A23" s="7" t="s">
        <v>10</v>
      </c>
      <c r="B23" s="8"/>
      <c r="C23" s="9">
        <v>1</v>
      </c>
      <c r="D23" s="9">
        <v>-1.2</v>
      </c>
      <c r="E23" s="9">
        <v>-0.5</v>
      </c>
      <c r="F23" s="1">
        <v>0</v>
      </c>
      <c r="G23" s="9">
        <v>1</v>
      </c>
      <c r="H23" s="9">
        <v>-0.7</v>
      </c>
      <c r="I23" s="8">
        <f t="shared" si="0"/>
        <v>-0.85</v>
      </c>
      <c r="J23" s="9">
        <f t="shared" si="1"/>
        <v>0</v>
      </c>
      <c r="K23" s="10">
        <f t="shared" si="2"/>
        <v>1</v>
      </c>
    </row>
    <row r="24" spans="1:15" x14ac:dyDescent="0.25">
      <c r="A24" s="7" t="s">
        <v>10</v>
      </c>
      <c r="B24" s="8"/>
      <c r="C24" s="9">
        <v>1</v>
      </c>
      <c r="D24" s="9">
        <v>-0.8</v>
      </c>
      <c r="E24" s="9">
        <v>1</v>
      </c>
      <c r="F24" s="1">
        <v>0</v>
      </c>
      <c r="G24" s="9">
        <v>1</v>
      </c>
      <c r="H24" s="9">
        <v>-0.7</v>
      </c>
      <c r="I24" s="8">
        <f t="shared" si="0"/>
        <v>-1.5</v>
      </c>
      <c r="J24" s="9">
        <f t="shared" si="1"/>
        <v>0</v>
      </c>
      <c r="K24" s="10">
        <f t="shared" si="2"/>
        <v>1</v>
      </c>
    </row>
    <row r="25" spans="1:15" x14ac:dyDescent="0.25">
      <c r="A25" s="7" t="s">
        <v>10</v>
      </c>
      <c r="B25" s="8"/>
      <c r="C25" s="9">
        <v>1</v>
      </c>
      <c r="D25" s="9">
        <v>-0.3</v>
      </c>
      <c r="E25" s="9">
        <v>1.2</v>
      </c>
      <c r="F25" s="1">
        <v>0</v>
      </c>
      <c r="G25" s="9">
        <v>1</v>
      </c>
      <c r="H25" s="9">
        <v>-0.7</v>
      </c>
      <c r="I25" s="8">
        <f t="shared" si="0"/>
        <v>-1.1399999999999999</v>
      </c>
      <c r="J25" s="9">
        <f t="shared" si="1"/>
        <v>0</v>
      </c>
      <c r="K25" s="10">
        <f t="shared" si="2"/>
        <v>1</v>
      </c>
    </row>
    <row r="26" spans="1:15" x14ac:dyDescent="0.25">
      <c r="A26" s="7" t="s">
        <v>10</v>
      </c>
      <c r="B26" s="8"/>
      <c r="C26" s="9">
        <v>1</v>
      </c>
      <c r="D26" s="9">
        <v>-1.1000000000000001</v>
      </c>
      <c r="E26" s="9">
        <v>0.5</v>
      </c>
      <c r="F26" s="1">
        <v>0</v>
      </c>
      <c r="G26" s="9">
        <v>1</v>
      </c>
      <c r="H26" s="9">
        <v>-0.7</v>
      </c>
      <c r="I26" s="8">
        <f t="shared" si="0"/>
        <v>-1.4500000000000002</v>
      </c>
      <c r="J26" s="9">
        <f t="shared" si="1"/>
        <v>0</v>
      </c>
      <c r="K26" s="10">
        <f t="shared" si="2"/>
        <v>1</v>
      </c>
    </row>
    <row r="27" spans="1:15" x14ac:dyDescent="0.25">
      <c r="A27" s="7" t="s">
        <v>11</v>
      </c>
      <c r="B27" s="8"/>
      <c r="C27" s="9">
        <v>1</v>
      </c>
      <c r="D27" s="9">
        <v>0.7</v>
      </c>
      <c r="E27" s="9">
        <v>0.7</v>
      </c>
      <c r="F27" s="1">
        <v>0</v>
      </c>
      <c r="G27" s="9">
        <v>1</v>
      </c>
      <c r="H27" s="9">
        <v>-0.7</v>
      </c>
      <c r="I27" s="8">
        <f t="shared" si="0"/>
        <v>0.21000000000000002</v>
      </c>
      <c r="J27" s="9">
        <f t="shared" si="1"/>
        <v>1</v>
      </c>
      <c r="K27" s="10">
        <f t="shared" si="2"/>
        <v>1</v>
      </c>
      <c r="L27" s="16" t="s">
        <v>12</v>
      </c>
      <c r="M27" s="16" t="s">
        <v>13</v>
      </c>
      <c r="O27" s="16" t="s">
        <v>14</v>
      </c>
    </row>
    <row r="28" spans="1:15" x14ac:dyDescent="0.25">
      <c r="A28" s="7" t="s">
        <v>11</v>
      </c>
      <c r="B28" s="8"/>
      <c r="C28" s="9">
        <v>1</v>
      </c>
      <c r="D28" s="9">
        <v>1.5</v>
      </c>
      <c r="E28" s="9">
        <v>1.4</v>
      </c>
      <c r="F28" s="1">
        <v>0</v>
      </c>
      <c r="G28" s="9">
        <v>1</v>
      </c>
      <c r="H28" s="9">
        <v>-0.7</v>
      </c>
      <c r="I28" s="8">
        <f t="shared" si="0"/>
        <v>0.52000000000000013</v>
      </c>
      <c r="J28" s="9">
        <f t="shared" si="1"/>
        <v>1</v>
      </c>
      <c r="K28" s="10">
        <f t="shared" si="2"/>
        <v>1</v>
      </c>
      <c r="L28">
        <v>-2</v>
      </c>
      <c r="M28" s="16">
        <f t="shared" ref="M28:M36" si="3">-(F$31+G$31*L28)/H$31</f>
        <v>-2.8571428571428572</v>
      </c>
    </row>
    <row r="29" spans="1:15" x14ac:dyDescent="0.25">
      <c r="A29" s="7" t="s">
        <v>11</v>
      </c>
      <c r="B29" s="8"/>
      <c r="C29" s="9">
        <v>1</v>
      </c>
      <c r="D29" s="9">
        <v>0.8</v>
      </c>
      <c r="E29" s="9">
        <v>-0.5</v>
      </c>
      <c r="F29" s="1">
        <v>0</v>
      </c>
      <c r="G29" s="9">
        <v>1</v>
      </c>
      <c r="H29" s="9">
        <v>-0.7</v>
      </c>
      <c r="I29" s="8">
        <f t="shared" si="0"/>
        <v>1.1499999999999999</v>
      </c>
      <c r="J29" s="9">
        <f t="shared" si="1"/>
        <v>1</v>
      </c>
      <c r="K29" s="10">
        <f t="shared" si="2"/>
        <v>1</v>
      </c>
      <c r="L29">
        <v>-1.5</v>
      </c>
      <c r="M29" s="16">
        <f t="shared" si="3"/>
        <v>-2.1428571428571428</v>
      </c>
    </row>
    <row r="30" spans="1:15" x14ac:dyDescent="0.25">
      <c r="A30" s="7" t="s">
        <v>11</v>
      </c>
      <c r="B30" s="8"/>
      <c r="C30" s="9">
        <v>1</v>
      </c>
      <c r="D30" s="9">
        <v>-0.7</v>
      </c>
      <c r="E30" s="9">
        <v>-1.2</v>
      </c>
      <c r="F30" s="1">
        <v>0</v>
      </c>
      <c r="G30" s="9">
        <v>1</v>
      </c>
      <c r="H30" s="9">
        <v>-0.7</v>
      </c>
      <c r="I30" s="8">
        <f t="shared" si="0"/>
        <v>0.14000000000000001</v>
      </c>
      <c r="J30" s="9">
        <f t="shared" si="1"/>
        <v>1</v>
      </c>
      <c r="K30" s="10">
        <f t="shared" si="2"/>
        <v>1</v>
      </c>
      <c r="L30">
        <v>-1</v>
      </c>
      <c r="M30" s="16">
        <f t="shared" si="3"/>
        <v>-1.4285714285714286</v>
      </c>
    </row>
    <row r="31" spans="1:15" x14ac:dyDescent="0.25">
      <c r="A31" s="11" t="s">
        <v>11</v>
      </c>
      <c r="B31" s="12"/>
      <c r="C31" s="13">
        <v>1</v>
      </c>
      <c r="D31" s="13">
        <v>0.7</v>
      </c>
      <c r="E31" s="13">
        <v>-1.9</v>
      </c>
      <c r="F31" s="1">
        <v>0</v>
      </c>
      <c r="G31" s="9">
        <v>1</v>
      </c>
      <c r="H31" s="9">
        <v>-0.7</v>
      </c>
      <c r="I31" s="12">
        <f t="shared" si="0"/>
        <v>2.0299999999999998</v>
      </c>
      <c r="J31" s="13">
        <f t="shared" si="1"/>
        <v>1</v>
      </c>
      <c r="K31" s="14">
        <f t="shared" si="2"/>
        <v>1</v>
      </c>
      <c r="L31">
        <v>-0.5</v>
      </c>
      <c r="M31" s="16">
        <f t="shared" si="3"/>
        <v>-0.7142857142857143</v>
      </c>
    </row>
    <row r="32" spans="1:15" x14ac:dyDescent="0.25">
      <c r="L32">
        <v>0</v>
      </c>
      <c r="M32" s="16">
        <f t="shared" si="3"/>
        <v>0</v>
      </c>
    </row>
    <row r="33" spans="12:13" x14ac:dyDescent="0.25">
      <c r="L33">
        <v>0.5</v>
      </c>
      <c r="M33" s="16">
        <f t="shared" si="3"/>
        <v>0.7142857142857143</v>
      </c>
    </row>
    <row r="34" spans="12:13" x14ac:dyDescent="0.25">
      <c r="L34">
        <v>1</v>
      </c>
      <c r="M34" s="16">
        <f t="shared" si="3"/>
        <v>1.4285714285714286</v>
      </c>
    </row>
    <row r="35" spans="12:13" x14ac:dyDescent="0.25">
      <c r="L35">
        <v>1.5</v>
      </c>
      <c r="M35" s="16">
        <f t="shared" si="3"/>
        <v>2.1428571428571428</v>
      </c>
    </row>
    <row r="36" spans="12:13" x14ac:dyDescent="0.25">
      <c r="L36">
        <v>2</v>
      </c>
      <c r="M36" s="16">
        <f t="shared" si="3"/>
        <v>2.8571428571428572</v>
      </c>
    </row>
    <row r="58" spans="6:8" x14ac:dyDescent="0.25">
      <c r="F58" s="1"/>
      <c r="G58" s="17"/>
      <c r="H58" s="17"/>
    </row>
  </sheetData>
  <conditionalFormatting sqref="J32:J1048576 K1:K31">
    <cfRule type="cellIs" dxfId="0" priority="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Быков Леонтий Дмитриевич</dc:creator>
  <dc:description/>
  <cp:lastModifiedBy>1</cp:lastModifiedBy>
  <cp:revision>1</cp:revision>
  <dcterms:created xsi:type="dcterms:W3CDTF">2025-12-21T20:48:15Z</dcterms:created>
  <dcterms:modified xsi:type="dcterms:W3CDTF">2025-12-28T11:05:45Z</dcterms:modified>
  <dc:language>ru-RU</dc:language>
</cp:coreProperties>
</file>