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<sst xmlns="http://schemas.openxmlformats.org/spreadsheetml/2006/main" count="43" uniqueCount="15">
  <si>
    <t xml:space="preserve">класс</t>
  </si>
  <si>
    <t xml:space="preserve">x0</t>
  </si>
  <si>
    <t xml:space="preserve">x1</t>
  </si>
  <si>
    <t xml:space="preserve">x2</t>
  </si>
  <si>
    <t xml:space="preserve">w0</t>
  </si>
  <si>
    <t xml:space="preserve">w1</t>
  </si>
  <si>
    <t xml:space="preserve">w2</t>
  </si>
  <si>
    <t xml:space="preserve">z</t>
  </si>
  <si>
    <t xml:space="preserve">y</t>
  </si>
  <si>
    <t xml:space="preserve">верно?</t>
  </si>
  <si>
    <t xml:space="preserve">-</t>
  </si>
  <si>
    <t xml:space="preserve">+</t>
  </si>
  <si>
    <t xml:space="preserve">X</t>
  </si>
  <si>
    <t xml:space="preserve">X2</t>
  </si>
  <si>
    <t xml:space="preserve">X2=-(w0+w1x)/w2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</si>
</sst>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204"/>
    </font>
    <font>
      <sz val="9"/>
      <color rgb="FF595959"/>
      <name val="Calibri"/>
      <family val="2"/>
    </font>
    <font>
      <sz val="14"/>
      <color rgb="FF595959"/>
      <name val="Calibri"/>
      <family val="2"/>
    </font>
  </fonts>
  <fills count="2">
    <fill>
      <patternFill patternType="none"/>
    </fill>
    <fill>
      <patternFill patternType="gray125"/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AE3F3"/>
      <rgbColor rgb="FF660066"/>
      <rgbColor rgb="FFFF8080"/>
      <rgbColor rgb="FF2A60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8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0545960417869706"/>
          <c:y val="0"/>
          <c:w val="0.976534201270408"/>
          <c:h val="0.982756651821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ed7d31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Pt>
            <c:idx val="0"/>
            <c:marker>
              <c:symbol val="circle"/>
              <c:size val="5"/>
              <c:spPr>
                <a:solidFill>
                  <a:srgbClr val="2a6099"/>
                </a:solidFill>
              </c:spPr>
            </c:marker>
          </c:dPt>
          <c:dPt>
            <c:idx val="1"/>
            <c:marker>
              <c:symbol val="circle"/>
              <c:size val="5"/>
              <c:spPr>
                <a:solidFill>
                  <a:srgbClr val="2a6099"/>
                </a:solidFill>
              </c:spPr>
            </c:marker>
          </c:dPt>
          <c:dPt>
            <c:idx val="2"/>
            <c:marker>
              <c:symbol val="circle"/>
              <c:size val="5"/>
              <c:spPr>
                <a:solidFill>
                  <a:srgbClr val="2a6099"/>
                </a:solidFill>
              </c:spPr>
            </c:marker>
          </c:dPt>
          <c:dPt>
            <c:idx val="3"/>
            <c:marker>
              <c:symbol val="circle"/>
              <c:size val="5"/>
              <c:spPr>
                <a:solidFill>
                  <a:srgbClr val="2a6099"/>
                </a:solidFill>
              </c:spPr>
            </c:marker>
          </c:dPt>
          <c:dPt>
            <c:idx val="4"/>
            <c:marker>
              <c:symbol val="circle"/>
              <c:size val="5"/>
              <c:spPr>
                <a:solidFill>
                  <a:srgbClr val="2a6099"/>
                </a:solidFill>
              </c:spPr>
            </c:marker>
          </c:dPt>
          <c:dPt>
            <c:idx val="8"/>
            <c:marker>
              <c:symbol val="circle"/>
              <c:size val="5"/>
              <c:spPr>
                <a:solidFill>
                  <a:srgbClr val="ed7d31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Лист1!$D$2:$D$11</c:f>
              <c:numCache>
                <c:formatCode>General</c:formatCode>
                <c:ptCount val="10"/>
                <c:pt idx="0">
                  <c:v>-0.2</c:v>
                </c:pt>
                <c:pt idx="1">
                  <c:v>-1.2</c:v>
                </c:pt>
                <c:pt idx="2">
                  <c:v>-0.8</c:v>
                </c:pt>
                <c:pt idx="3">
                  <c:v>-0.3</c:v>
                </c:pt>
                <c:pt idx="4">
                  <c:v>-1.1</c:v>
                </c:pt>
                <c:pt idx="5">
                  <c:v>0.7</c:v>
                </c:pt>
                <c:pt idx="6">
                  <c:v>1.5</c:v>
                </c:pt>
                <c:pt idx="7">
                  <c:v>0.8</c:v>
                </c:pt>
                <c:pt idx="8">
                  <c:v>-0.7</c:v>
                </c:pt>
                <c:pt idx="9">
                  <c:v>0.7</c:v>
                </c:pt>
              </c:numCache>
            </c:numRef>
          </c:xVal>
          <c:yVal>
            <c:numRef>
              <c:f>Лист1!$E$2:$E$11</c:f>
              <c:numCache>
                <c:formatCode>General</c:formatCode>
                <c:ptCount val="10"/>
                <c:pt idx="0">
                  <c:v>0.2</c:v>
                </c:pt>
                <c:pt idx="1">
                  <c:v>-0.5</c:v>
                </c:pt>
                <c:pt idx="2">
                  <c:v>1</c:v>
                </c:pt>
                <c:pt idx="3">
                  <c:v>1.2</c:v>
                </c:pt>
                <c:pt idx="4">
                  <c:v>0.5</c:v>
                </c:pt>
                <c:pt idx="5">
                  <c:v>0.7</c:v>
                </c:pt>
                <c:pt idx="6">
                  <c:v>1.4</c:v>
                </c:pt>
                <c:pt idx="7">
                  <c:v>-0.5</c:v>
                </c:pt>
                <c:pt idx="8">
                  <c:v>-1.2</c:v>
                </c:pt>
                <c:pt idx="9">
                  <c:v>-1.9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"Прямая"</c:f>
              <c:strCache>
                <c:ptCount val="1"/>
                <c:pt idx="0">
                  <c:v>Прямая</c:v>
                </c:pt>
              </c:strCache>
            </c:strRef>
          </c:tx>
          <c:spPr>
            <a:solidFill>
              <a:srgbClr val="385623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38562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Лист1!$L$28:$L$36</c:f>
              <c:numCache>
                <c:formatCode>General</c:formatCode>
                <c:ptCount val="9"/>
                <c:pt idx="0">
                  <c:v>-2</c:v>
                </c:pt>
                <c:pt idx="1">
                  <c:v>-1.5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</c:numCache>
            </c:numRef>
          </c:xVal>
          <c:yVal>
            <c:numRef>
              <c:f>Лист1!$M$28:$M$36</c:f>
              <c:numCache>
                <c:formatCode>General</c:formatCode>
                <c:ptCount val="9"/>
                <c:pt idx="0">
                  <c:v>-2.85714285714286</c:v>
                </c:pt>
                <c:pt idx="1">
                  <c:v>-2.14285714285714</c:v>
                </c:pt>
                <c:pt idx="2">
                  <c:v>-1.42857142857143</c:v>
                </c:pt>
                <c:pt idx="3">
                  <c:v>-0.714285714285714</c:v>
                </c:pt>
                <c:pt idx="4">
                  <c:v>0</c:v>
                </c:pt>
                <c:pt idx="5">
                  <c:v>0.714285714285714</c:v>
                </c:pt>
                <c:pt idx="6">
                  <c:v>1.42857142857143</c:v>
                </c:pt>
                <c:pt idx="7">
                  <c:v>2.14285714285714</c:v>
                </c:pt>
                <c:pt idx="8">
                  <c:v>2.85714285714286</c:v>
                </c:pt>
              </c:numCache>
            </c:numRef>
          </c:yVal>
          <c:smooth val="0"/>
        </c:ser>
        <c:axId val="87998239"/>
        <c:axId val="1100220"/>
      </c:scatterChart>
      <c:valAx>
        <c:axId val="87998239"/>
        <c:scaling>
          <c:orientation val="minMax"/>
          <c:max val="3"/>
          <c:min val="-2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100220"/>
        <c:crosses val="autoZero"/>
        <c:crossBetween val="midCat"/>
      </c:valAx>
      <c:valAx>
        <c:axId val="1100220"/>
        <c:scaling>
          <c:orientation val="minMax"/>
          <c:min val="-2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7998239"/>
        <c:crosses val="autoZero"/>
        <c:crossBetween val="midCat"/>
      </c:valAx>
      <c:spPr>
        <a:solidFill>
          <a:srgbClr val="dae3f3"/>
        </a:solidFill>
        <a:ln w="0">
          <a:noFill/>
        </a:ln>
      </c:spPr>
    </c:plotArea>
    <c:plotVisOnly val="1"/>
    <c:dispBlanksAs val="gap"/>
  </c:chart>
  <c:spPr>
    <a:noFill/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Заглавие диаграммы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363006581226186"/>
          <c:y val="0.0254593175853018"/>
          <c:w val="0.903429165223415"/>
          <c:h val="0.777296587926509"/>
        </c:manualLayout>
      </c:layout>
      <c:scatterChart>
        <c:scatterStyle val="line"/>
        <c:varyColors val="0"/>
        <c:ser>
          <c:idx val="0"/>
          <c:order val="0"/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Лист1!$L$28:$L$36</c:f>
              <c:numCache>
                <c:formatCode>General</c:formatCode>
                <c:ptCount val="9"/>
                <c:pt idx="0">
                  <c:v>-2</c:v>
                </c:pt>
                <c:pt idx="1">
                  <c:v>-1.5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</c:numCache>
            </c:numRef>
          </c:xVal>
          <c:yVal>
            <c:numRef>
              <c:f>Лист1!$M$28:$M$36</c:f>
              <c:numCache>
                <c:formatCode>General</c:formatCode>
                <c:ptCount val="9"/>
                <c:pt idx="0">
                  <c:v>-2.85714285714286</c:v>
                </c:pt>
                <c:pt idx="1">
                  <c:v>-2.14285714285714</c:v>
                </c:pt>
                <c:pt idx="2">
                  <c:v>-1.42857142857143</c:v>
                </c:pt>
                <c:pt idx="3">
                  <c:v>-0.714285714285714</c:v>
                </c:pt>
                <c:pt idx="4">
                  <c:v>0</c:v>
                </c:pt>
                <c:pt idx="5">
                  <c:v>0.714285714285714</c:v>
                </c:pt>
                <c:pt idx="6">
                  <c:v>1.42857142857143</c:v>
                </c:pt>
                <c:pt idx="7">
                  <c:v>2.14285714285714</c:v>
                </c:pt>
                <c:pt idx="8">
                  <c:v>2.85714285714286</c:v>
                </c:pt>
              </c:numCache>
            </c:numRef>
          </c:yVal>
          <c:smooth val="0"/>
        </c:ser>
        <c:axId val="53769816"/>
        <c:axId val="51738820"/>
      </c:scatterChart>
      <c:valAx>
        <c:axId val="5376981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1738820"/>
        <c:crosses val="autoZero"/>
        <c:crossBetween val="midCat"/>
      </c:valAx>
      <c:valAx>
        <c:axId val="51738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376981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371520</xdr:colOff>
      <xdr:row>13</xdr:row>
      <xdr:rowOff>121320</xdr:rowOff>
    </xdr:from>
    <xdr:to>
      <xdr:col>23</xdr:col>
      <xdr:colOff>352080</xdr:colOff>
      <xdr:row>28</xdr:row>
      <xdr:rowOff>149400</xdr:rowOff>
    </xdr:to>
    <xdr:graphicFrame>
      <xdr:nvGraphicFramePr>
        <xdr:cNvPr id="0" name="Диаграмма 2"/>
        <xdr:cNvGraphicFramePr/>
      </xdr:nvGraphicFramePr>
      <xdr:xfrm>
        <a:off x="8768880" y="2828880"/>
        <a:ext cx="6857640" cy="315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24</xdr:col>
      <xdr:colOff>457200</xdr:colOff>
      <xdr:row>14</xdr:row>
      <xdr:rowOff>113040</xdr:rowOff>
    </xdr:from>
    <xdr:to>
      <xdr:col>32</xdr:col>
      <xdr:colOff>151920</xdr:colOff>
      <xdr:row>27</xdr:row>
      <xdr:rowOff>148320</xdr:rowOff>
    </xdr:to>
    <xdr:graphicFrame>
      <xdr:nvGraphicFramePr>
        <xdr:cNvPr id="1" name="Диаграмма 3"/>
        <xdr:cNvGraphicFramePr/>
      </xdr:nvGraphicFramePr>
      <xdr:xfrm>
        <a:off x="16419240" y="3029040"/>
        <a:ext cx="519624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.14"/>
    <col collapsed="false" customWidth="true" hidden="true" outlineLevel="0" max="2" min="2" style="0" width="9.29"/>
    <col collapsed="false" customWidth="true" hidden="false" outlineLevel="0" max="5" min="5" style="1" width="8.86"/>
  </cols>
  <sheetData>
    <row r="1" customFormat="false" ht="16.4" hidden="false" customHeight="false" outlineLevel="0" collapsed="false">
      <c r="A1" s="2" t="s">
        <v>0</v>
      </c>
      <c r="B1" s="3"/>
      <c r="C1" s="4" t="s">
        <v>1</v>
      </c>
      <c r="D1" s="4" t="s">
        <v>2</v>
      </c>
      <c r="E1" s="4" t="s">
        <v>3</v>
      </c>
      <c r="F1" s="5" t="s">
        <v>4</v>
      </c>
      <c r="G1" s="4" t="s">
        <v>5</v>
      </c>
      <c r="H1" s="4" t="s">
        <v>6</v>
      </c>
      <c r="I1" s="3" t="s">
        <v>7</v>
      </c>
      <c r="J1" s="4" t="s">
        <v>8</v>
      </c>
      <c r="K1" s="6" t="s">
        <v>9</v>
      </c>
    </row>
    <row r="2" customFormat="false" ht="16.4" hidden="false" customHeight="false" outlineLevel="0" collapsed="false">
      <c r="A2" s="7" t="s">
        <v>10</v>
      </c>
      <c r="B2" s="8" t="n">
        <v>1</v>
      </c>
      <c r="C2" s="9" t="n">
        <v>1</v>
      </c>
      <c r="D2" s="9" t="n">
        <v>-0.2</v>
      </c>
      <c r="E2" s="9" t="n">
        <v>0.2</v>
      </c>
      <c r="F2" s="1" t="n">
        <v>-2</v>
      </c>
      <c r="G2" s="9" t="n">
        <v>-0.7</v>
      </c>
      <c r="H2" s="9" t="n">
        <v>-1.4</v>
      </c>
      <c r="I2" s="8" t="n">
        <f aca="false">$C2*$F2+$D2*$G2+$E2*$H2</f>
        <v>-2.14</v>
      </c>
      <c r="J2" s="9" t="n">
        <f aca="false">IF(I2&gt;=0,1,0)</f>
        <v>0</v>
      </c>
      <c r="K2" s="10" t="n">
        <f aca="false">IF(OR(AND(J2=1,A2="+"),AND(J2=0,A2="-")),1,0)</f>
        <v>1</v>
      </c>
    </row>
    <row r="3" customFormat="false" ht="16.4" hidden="false" customHeight="false" outlineLevel="0" collapsed="false">
      <c r="A3" s="7" t="s">
        <v>10</v>
      </c>
      <c r="B3" s="8" t="n">
        <v>1</v>
      </c>
      <c r="C3" s="9" t="n">
        <v>1</v>
      </c>
      <c r="D3" s="9" t="n">
        <v>-1.2</v>
      </c>
      <c r="E3" s="9" t="n">
        <v>-0.5</v>
      </c>
      <c r="F3" s="1" t="n">
        <v>-2</v>
      </c>
      <c r="G3" s="9" t="n">
        <v>-0.7</v>
      </c>
      <c r="H3" s="9" t="n">
        <v>-1.4</v>
      </c>
      <c r="I3" s="8" t="n">
        <f aca="false">$C3*$F3+$D3*$G3+$E3*$H3</f>
        <v>-0.46</v>
      </c>
      <c r="J3" s="9" t="n">
        <f aca="false">IF(I3&gt;=0,1,0)</f>
        <v>0</v>
      </c>
      <c r="K3" s="10" t="n">
        <f aca="false">IF(OR(AND(J3=1,A3="+"),AND(J3=0,A3="-")),1,0)</f>
        <v>1</v>
      </c>
    </row>
    <row r="4" customFormat="false" ht="16.4" hidden="false" customHeight="false" outlineLevel="0" collapsed="false">
      <c r="A4" s="7" t="s">
        <v>10</v>
      </c>
      <c r="B4" s="8" t="n">
        <v>1</v>
      </c>
      <c r="C4" s="9" t="n">
        <v>1</v>
      </c>
      <c r="D4" s="9" t="n">
        <v>-0.8</v>
      </c>
      <c r="E4" s="9" t="n">
        <v>1</v>
      </c>
      <c r="F4" s="1" t="n">
        <v>-2</v>
      </c>
      <c r="G4" s="9" t="n">
        <v>-0.7</v>
      </c>
      <c r="H4" s="9" t="n">
        <v>-1.4</v>
      </c>
      <c r="I4" s="8" t="n">
        <f aca="false">$C4*$F4+$D4*$G4+$E4*$H4</f>
        <v>-2.84</v>
      </c>
      <c r="J4" s="9" t="n">
        <f aca="false">IF(I4&gt;=0,1,0)</f>
        <v>0</v>
      </c>
      <c r="K4" s="10" t="n">
        <f aca="false">IF(OR(AND(J4=1,A4="+"),AND(J4=0,A4="-")),1,0)</f>
        <v>1</v>
      </c>
    </row>
    <row r="5" customFormat="false" ht="16.4" hidden="false" customHeight="false" outlineLevel="0" collapsed="false">
      <c r="A5" s="7" t="s">
        <v>10</v>
      </c>
      <c r="B5" s="8" t="n">
        <v>1</v>
      </c>
      <c r="C5" s="9" t="n">
        <v>1</v>
      </c>
      <c r="D5" s="9" t="n">
        <v>-0.3</v>
      </c>
      <c r="E5" s="9" t="n">
        <v>1.2</v>
      </c>
      <c r="F5" s="1" t="n">
        <v>-2</v>
      </c>
      <c r="G5" s="9" t="n">
        <v>-0.7</v>
      </c>
      <c r="H5" s="9" t="n">
        <v>-1.4</v>
      </c>
      <c r="I5" s="8" t="n">
        <f aca="false">$C5*$F5+$D5*$G5+$E5*$H5</f>
        <v>-3.47</v>
      </c>
      <c r="J5" s="9" t="n">
        <f aca="false">IF(I5&gt;=0,1,0)</f>
        <v>0</v>
      </c>
      <c r="K5" s="10" t="n">
        <f aca="false">IF(OR(AND(J5=1,A5="+"),AND(J5=0,A5="-")),1,0)</f>
        <v>1</v>
      </c>
    </row>
    <row r="6" customFormat="false" ht="16.4" hidden="false" customHeight="false" outlineLevel="0" collapsed="false">
      <c r="A6" s="7" t="s">
        <v>10</v>
      </c>
      <c r="B6" s="8" t="n">
        <v>1</v>
      </c>
      <c r="C6" s="9" t="n">
        <v>1</v>
      </c>
      <c r="D6" s="9" t="n">
        <v>-1.1</v>
      </c>
      <c r="E6" s="9" t="n">
        <v>0.5</v>
      </c>
      <c r="F6" s="1" t="n">
        <v>-2</v>
      </c>
      <c r="G6" s="9" t="n">
        <v>-0.7</v>
      </c>
      <c r="H6" s="9" t="n">
        <v>-1.4</v>
      </c>
      <c r="I6" s="8" t="n">
        <f aca="false">$C6*$F6+$D6*$G6+$E6*$H6</f>
        <v>-1.93</v>
      </c>
      <c r="J6" s="9" t="n">
        <f aca="false">IF(I6&gt;=0,1,0)</f>
        <v>0</v>
      </c>
      <c r="K6" s="10" t="n">
        <f aca="false">IF(OR(AND(J6=1,A6="+"),AND(J6=0,A6="-")),1,0)</f>
        <v>1</v>
      </c>
    </row>
    <row r="7" customFormat="false" ht="16.4" hidden="false" customHeight="false" outlineLevel="0" collapsed="false">
      <c r="A7" s="7" t="s">
        <v>11</v>
      </c>
      <c r="B7" s="8" t="n">
        <v>0</v>
      </c>
      <c r="C7" s="9" t="n">
        <v>1</v>
      </c>
      <c r="D7" s="9" t="n">
        <v>0.7</v>
      </c>
      <c r="E7" s="9" t="n">
        <v>0.7</v>
      </c>
      <c r="F7" s="1" t="n">
        <v>-2</v>
      </c>
      <c r="G7" s="9" t="n">
        <v>-0.7</v>
      </c>
      <c r="H7" s="9" t="n">
        <v>-1.4</v>
      </c>
      <c r="I7" s="8" t="n">
        <f aca="false">$C7*$F7+$D7*$G7+$E7*$H7</f>
        <v>-3.47</v>
      </c>
      <c r="J7" s="9" t="n">
        <f aca="false">IF(I7&gt;=0,1,0)</f>
        <v>0</v>
      </c>
      <c r="K7" s="10" t="n">
        <f aca="false">IF(OR(AND(J7=1,A7="+"),AND(J7=0,A7="-")),1,0)</f>
        <v>0</v>
      </c>
    </row>
    <row r="8" customFormat="false" ht="16.4" hidden="false" customHeight="false" outlineLevel="0" collapsed="false">
      <c r="A8" s="7" t="s">
        <v>11</v>
      </c>
      <c r="B8" s="8" t="n">
        <v>0</v>
      </c>
      <c r="C8" s="9" t="n">
        <v>1</v>
      </c>
      <c r="D8" s="9" t="n">
        <v>1.5</v>
      </c>
      <c r="E8" s="9" t="n">
        <v>1.4</v>
      </c>
      <c r="F8" s="1" t="n">
        <v>-1</v>
      </c>
      <c r="G8" s="9" t="n">
        <v>0</v>
      </c>
      <c r="H8" s="9" t="n">
        <v>-0.7</v>
      </c>
      <c r="I8" s="8" t="n">
        <f aca="false">$C8*$F8+$D8*$G8+$E8*$H8</f>
        <v>-1.98</v>
      </c>
      <c r="J8" s="9" t="n">
        <f aca="false">IF(I8&gt;=0,1,0)</f>
        <v>0</v>
      </c>
      <c r="K8" s="10" t="n">
        <f aca="false">IF(OR(AND(J8=1,A8="+"),AND(J8=0,A8="-")),1,0)</f>
        <v>0</v>
      </c>
    </row>
    <row r="9" customFormat="false" ht="16.4" hidden="false" customHeight="false" outlineLevel="0" collapsed="false">
      <c r="A9" s="7" t="s">
        <v>11</v>
      </c>
      <c r="B9" s="8" t="n">
        <v>0</v>
      </c>
      <c r="C9" s="9" t="n">
        <v>1</v>
      </c>
      <c r="D9" s="9" t="n">
        <v>0.8</v>
      </c>
      <c r="E9" s="9" t="n">
        <v>-0.5</v>
      </c>
      <c r="F9" s="1" t="n">
        <v>0</v>
      </c>
      <c r="G9" s="9" t="n">
        <v>1.5</v>
      </c>
      <c r="H9" s="9" t="n">
        <v>0.7</v>
      </c>
      <c r="I9" s="8" t="n">
        <f aca="false">$C9*$F9+$D9*$G9+$E9*$H9</f>
        <v>0.85</v>
      </c>
      <c r="J9" s="9" t="n">
        <f aca="false">IF(I9&gt;=0,1,0)</f>
        <v>1</v>
      </c>
      <c r="K9" s="10" t="n">
        <f aca="false">IF(OR(AND(J9=1,A9="+"),AND(J9=0,A9="-")),1,0)</f>
        <v>1</v>
      </c>
    </row>
    <row r="10" customFormat="false" ht="16.4" hidden="false" customHeight="false" outlineLevel="0" collapsed="false">
      <c r="A10" s="7" t="s">
        <v>11</v>
      </c>
      <c r="B10" s="8" t="n">
        <v>0</v>
      </c>
      <c r="C10" s="9" t="n">
        <v>1</v>
      </c>
      <c r="D10" s="9" t="n">
        <v>-0.7</v>
      </c>
      <c r="E10" s="9" t="n">
        <v>-1.2</v>
      </c>
      <c r="F10" s="1" t="n">
        <v>0</v>
      </c>
      <c r="G10" s="9" t="n">
        <v>1.5</v>
      </c>
      <c r="H10" s="9" t="n">
        <v>0.7</v>
      </c>
      <c r="I10" s="8" t="n">
        <f aca="false">$C10*$F10+$D10*$G10+$E10*$H10</f>
        <v>-1.89</v>
      </c>
      <c r="J10" s="9" t="n">
        <f aca="false">IF(I10&gt;=0,1,0)</f>
        <v>0</v>
      </c>
      <c r="K10" s="10" t="n">
        <f aca="false">IF(OR(AND(J10=1,A10="+"),AND(J10=0,A10="-")),1,0)</f>
        <v>0</v>
      </c>
    </row>
    <row r="11" customFormat="false" ht="16.4" hidden="false" customHeight="false" outlineLevel="0" collapsed="false">
      <c r="A11" s="11" t="s">
        <v>11</v>
      </c>
      <c r="B11" s="12" t="n">
        <v>0</v>
      </c>
      <c r="C11" s="13" t="n">
        <v>1</v>
      </c>
      <c r="D11" s="13" t="n">
        <v>0.7</v>
      </c>
      <c r="E11" s="13" t="n">
        <v>-1.9</v>
      </c>
      <c r="F11" s="1" t="n">
        <v>1</v>
      </c>
      <c r="G11" s="9" t="n">
        <v>0.8</v>
      </c>
      <c r="H11" s="9" t="n">
        <v>-0.5</v>
      </c>
      <c r="I11" s="12" t="n">
        <f aca="false">$C11*$F11+$D11*$G11+$E11*$H11</f>
        <v>2.51</v>
      </c>
      <c r="J11" s="13" t="n">
        <f aca="false">IF(I11&gt;=0,1,0)</f>
        <v>1</v>
      </c>
      <c r="K11" s="14" t="n">
        <f aca="false">IF(OR(AND(J11=1,A11="+"),AND(J11=0,A11="-")),1,0)</f>
        <v>1</v>
      </c>
    </row>
    <row r="12" customFormat="false" ht="16.4" hidden="false" customHeight="false" outlineLevel="0" collapsed="false">
      <c r="A12" s="15" t="s">
        <v>10</v>
      </c>
      <c r="B12" s="3"/>
      <c r="C12" s="4" t="n">
        <v>1</v>
      </c>
      <c r="D12" s="9" t="n">
        <v>-0.2</v>
      </c>
      <c r="E12" s="9" t="n">
        <v>0.2</v>
      </c>
      <c r="F12" s="1" t="n">
        <v>1</v>
      </c>
      <c r="G12" s="9" t="n">
        <v>0.8</v>
      </c>
      <c r="H12" s="9" t="n">
        <v>-0.5</v>
      </c>
      <c r="I12" s="3" t="n">
        <f aca="false">$C12*$F12+$D12*$G12+$E12*$H12</f>
        <v>0.74</v>
      </c>
      <c r="J12" s="4" t="n">
        <f aca="false">IF(I12&gt;=0,1,0)</f>
        <v>1</v>
      </c>
      <c r="K12" s="6" t="n">
        <f aca="false">IF(OR(AND(J12=1,A12="+"),AND(J12=0,A12="-")),1,0)</f>
        <v>0</v>
      </c>
    </row>
    <row r="13" customFormat="false" ht="16.4" hidden="false" customHeight="false" outlineLevel="0" collapsed="false">
      <c r="A13" s="7" t="s">
        <v>10</v>
      </c>
      <c r="B13" s="8"/>
      <c r="C13" s="9" t="n">
        <v>1</v>
      </c>
      <c r="D13" s="9" t="n">
        <v>-1.2</v>
      </c>
      <c r="E13" s="9" t="n">
        <v>-0.5</v>
      </c>
      <c r="F13" s="1" t="n">
        <v>0</v>
      </c>
      <c r="G13" s="9" t="n">
        <v>1</v>
      </c>
      <c r="H13" s="9" t="n">
        <v>-0.7</v>
      </c>
      <c r="I13" s="8" t="n">
        <f aca="false">$C13*$F13+$D13*$G13+$E13*$H13</f>
        <v>-0.85</v>
      </c>
      <c r="J13" s="9" t="n">
        <f aca="false">IF(I13&gt;=0,1,0)</f>
        <v>0</v>
      </c>
      <c r="K13" s="10" t="n">
        <f aca="false">IF(OR(AND(J13=1,A13="+"),AND(J13=0,A13="-")),1,0)</f>
        <v>1</v>
      </c>
    </row>
    <row r="14" customFormat="false" ht="16.4" hidden="false" customHeight="false" outlineLevel="0" collapsed="false">
      <c r="A14" s="7" t="s">
        <v>10</v>
      </c>
      <c r="B14" s="8"/>
      <c r="C14" s="9" t="n">
        <v>1</v>
      </c>
      <c r="D14" s="9" t="n">
        <v>-0.8</v>
      </c>
      <c r="E14" s="9" t="n">
        <v>1</v>
      </c>
      <c r="F14" s="1" t="n">
        <v>0</v>
      </c>
      <c r="G14" s="9" t="n">
        <v>1</v>
      </c>
      <c r="H14" s="9" t="n">
        <v>-0.7</v>
      </c>
      <c r="I14" s="8" t="n">
        <f aca="false">$C14*$F14+$D14*$G14+$E14*$H14</f>
        <v>-1.5</v>
      </c>
      <c r="J14" s="9" t="n">
        <f aca="false">IF(I14&gt;=0,1,0)</f>
        <v>0</v>
      </c>
      <c r="K14" s="10" t="n">
        <f aca="false">IF(OR(AND(J14=1,A14="+"),AND(J14=0,A14="-")),1,0)</f>
        <v>1</v>
      </c>
    </row>
    <row r="15" customFormat="false" ht="16.4" hidden="false" customHeight="false" outlineLevel="0" collapsed="false">
      <c r="A15" s="7" t="s">
        <v>10</v>
      </c>
      <c r="B15" s="8"/>
      <c r="C15" s="9" t="n">
        <v>1</v>
      </c>
      <c r="D15" s="9" t="n">
        <v>-0.3</v>
      </c>
      <c r="E15" s="9" t="n">
        <v>1.2</v>
      </c>
      <c r="F15" s="1" t="n">
        <v>0</v>
      </c>
      <c r="G15" s="9" t="n">
        <v>1</v>
      </c>
      <c r="H15" s="9" t="n">
        <v>-0.7</v>
      </c>
      <c r="I15" s="8" t="n">
        <f aca="false">$C15*$F15+$D15*$G15+$E15*$H15</f>
        <v>-1.14</v>
      </c>
      <c r="J15" s="9" t="n">
        <f aca="false">IF(I15&gt;=0,1,0)</f>
        <v>0</v>
      </c>
      <c r="K15" s="10" t="n">
        <f aca="false">IF(OR(AND(J15=1,A15="+"),AND(J15=0,A15="-")),1,0)</f>
        <v>1</v>
      </c>
    </row>
    <row r="16" customFormat="false" ht="16.4" hidden="false" customHeight="false" outlineLevel="0" collapsed="false">
      <c r="A16" s="7" t="s">
        <v>10</v>
      </c>
      <c r="B16" s="8"/>
      <c r="C16" s="9" t="n">
        <v>1</v>
      </c>
      <c r="D16" s="9" t="n">
        <v>-1.1</v>
      </c>
      <c r="E16" s="9" t="n">
        <v>0.5</v>
      </c>
      <c r="F16" s="1" t="n">
        <v>0</v>
      </c>
      <c r="G16" s="9" t="n">
        <v>1</v>
      </c>
      <c r="H16" s="9" t="n">
        <v>-0.7</v>
      </c>
      <c r="I16" s="8" t="n">
        <f aca="false">$C16*$F16+$D16*$G16+$E16*$H16</f>
        <v>-1.45</v>
      </c>
      <c r="J16" s="9" t="n">
        <f aca="false">IF(I16&gt;=0,1,0)</f>
        <v>0</v>
      </c>
      <c r="K16" s="10" t="n">
        <f aca="false">IF(OR(AND(J16=1,A16="+"),AND(J16=0,A16="-")),1,0)</f>
        <v>1</v>
      </c>
    </row>
    <row r="17" customFormat="false" ht="16.4" hidden="false" customHeight="false" outlineLevel="0" collapsed="false">
      <c r="A17" s="7" t="s">
        <v>11</v>
      </c>
      <c r="B17" s="8"/>
      <c r="C17" s="9" t="n">
        <v>1</v>
      </c>
      <c r="D17" s="9" t="n">
        <v>0.7</v>
      </c>
      <c r="E17" s="9" t="n">
        <v>0.7</v>
      </c>
      <c r="F17" s="1" t="n">
        <v>0</v>
      </c>
      <c r="G17" s="9" t="n">
        <v>1</v>
      </c>
      <c r="H17" s="9" t="n">
        <v>-0.7</v>
      </c>
      <c r="I17" s="8" t="n">
        <f aca="false">$C17*$F17+$D17*$G17+$E17*$H17</f>
        <v>0.21</v>
      </c>
      <c r="J17" s="9" t="n">
        <f aca="false">IF(I17&gt;=0,1,0)</f>
        <v>1</v>
      </c>
      <c r="K17" s="10" t="n">
        <f aca="false">IF(OR(AND(J17=1,A17="+"),AND(J17=0,A17="-")),1,0)</f>
        <v>1</v>
      </c>
    </row>
    <row r="18" customFormat="false" ht="16.4" hidden="false" customHeight="false" outlineLevel="0" collapsed="false">
      <c r="A18" s="7" t="s">
        <v>11</v>
      </c>
      <c r="B18" s="8"/>
      <c r="C18" s="9" t="n">
        <v>1</v>
      </c>
      <c r="D18" s="9" t="n">
        <v>1.5</v>
      </c>
      <c r="E18" s="9" t="n">
        <v>1.4</v>
      </c>
      <c r="F18" s="1" t="n">
        <v>0</v>
      </c>
      <c r="G18" s="9" t="n">
        <v>1</v>
      </c>
      <c r="H18" s="9" t="n">
        <v>-0.7</v>
      </c>
      <c r="I18" s="8" t="n">
        <f aca="false">$C18*$F18+$D18*$G18+$E18*$H18</f>
        <v>0.52</v>
      </c>
      <c r="J18" s="9" t="n">
        <f aca="false">IF(I18&gt;=0,1,0)</f>
        <v>1</v>
      </c>
      <c r="K18" s="10" t="n">
        <f aca="false">IF(OR(AND(J18=1,A18="+"),AND(J18=0,A18="-")),1,0)</f>
        <v>1</v>
      </c>
    </row>
    <row r="19" customFormat="false" ht="16.4" hidden="false" customHeight="false" outlineLevel="0" collapsed="false">
      <c r="A19" s="7" t="s">
        <v>11</v>
      </c>
      <c r="B19" s="8"/>
      <c r="C19" s="9" t="n">
        <v>1</v>
      </c>
      <c r="D19" s="9" t="n">
        <v>0.8</v>
      </c>
      <c r="E19" s="9" t="n">
        <v>-0.5</v>
      </c>
      <c r="F19" s="1" t="n">
        <v>0</v>
      </c>
      <c r="G19" s="9" t="n">
        <v>1</v>
      </c>
      <c r="H19" s="9" t="n">
        <v>-0.7</v>
      </c>
      <c r="I19" s="8" t="n">
        <f aca="false">$C19*$F19+$D19*$G19+$E19*$H19</f>
        <v>1.15</v>
      </c>
      <c r="J19" s="9" t="n">
        <f aca="false">IF(I19&gt;=0,1,0)</f>
        <v>1</v>
      </c>
      <c r="K19" s="10" t="n">
        <f aca="false">IF(OR(AND(J19=1,A19="+"),AND(J19=0,A19="-")),1,0)</f>
        <v>1</v>
      </c>
    </row>
    <row r="20" customFormat="false" ht="16.4" hidden="false" customHeight="false" outlineLevel="0" collapsed="false">
      <c r="A20" s="7" t="s">
        <v>11</v>
      </c>
      <c r="B20" s="8"/>
      <c r="C20" s="9" t="n">
        <v>1</v>
      </c>
      <c r="D20" s="9" t="n">
        <v>-0.7</v>
      </c>
      <c r="E20" s="9" t="n">
        <v>-1.2</v>
      </c>
      <c r="F20" s="1" t="n">
        <v>0</v>
      </c>
      <c r="G20" s="9" t="n">
        <v>1</v>
      </c>
      <c r="H20" s="9" t="n">
        <v>-0.7</v>
      </c>
      <c r="I20" s="8" t="n">
        <f aca="false">$C20*$F20+$D20*$G20+$E20*$H20</f>
        <v>0.14</v>
      </c>
      <c r="J20" s="9" t="n">
        <f aca="false">IF(I20&gt;=0,1,0)</f>
        <v>1</v>
      </c>
      <c r="K20" s="10" t="n">
        <f aca="false">IF(OR(AND(J20=1,A20="+"),AND(J20=0,A20="-")),1,0)</f>
        <v>1</v>
      </c>
    </row>
    <row r="21" customFormat="false" ht="16.4" hidden="false" customHeight="false" outlineLevel="0" collapsed="false">
      <c r="A21" s="11" t="s">
        <v>11</v>
      </c>
      <c r="B21" s="12"/>
      <c r="C21" s="13" t="n">
        <v>1</v>
      </c>
      <c r="D21" s="13" t="n">
        <v>0.7</v>
      </c>
      <c r="E21" s="13" t="n">
        <v>-1.9</v>
      </c>
      <c r="F21" s="1" t="n">
        <v>0</v>
      </c>
      <c r="G21" s="9" t="n">
        <v>1</v>
      </c>
      <c r="H21" s="9" t="n">
        <v>-0.7</v>
      </c>
      <c r="I21" s="12" t="n">
        <f aca="false">$C21*$F21+$D21*$G21+$E21*$H21</f>
        <v>2.03</v>
      </c>
      <c r="J21" s="13" t="n">
        <f aca="false">IF(I21&gt;=0,1,0)</f>
        <v>1</v>
      </c>
      <c r="K21" s="14" t="n">
        <f aca="false">IF(OR(AND(J21=1,A21="+"),AND(J21=0,A21="-")),1,0)</f>
        <v>1</v>
      </c>
    </row>
    <row r="22" customFormat="false" ht="16.4" hidden="false" customHeight="false" outlineLevel="0" collapsed="false">
      <c r="A22" s="15" t="s">
        <v>10</v>
      </c>
      <c r="B22" s="3"/>
      <c r="C22" s="4" t="n">
        <v>1</v>
      </c>
      <c r="D22" s="9" t="n">
        <v>-0.2</v>
      </c>
      <c r="E22" s="9" t="n">
        <v>0.2</v>
      </c>
      <c r="F22" s="1" t="n">
        <v>0</v>
      </c>
      <c r="G22" s="9" t="n">
        <v>1</v>
      </c>
      <c r="H22" s="9" t="n">
        <v>-0.7</v>
      </c>
      <c r="I22" s="3" t="n">
        <f aca="false">$C22*$F22+$D22*$G22+$E22*$H22</f>
        <v>-0.34</v>
      </c>
      <c r="J22" s="4" t="n">
        <f aca="false">IF(I22&gt;=0,1,0)</f>
        <v>0</v>
      </c>
      <c r="K22" s="6" t="n">
        <f aca="false">IF(OR(AND(J22=1,A22="+"),AND(J22=0,A22="-")),1,0)</f>
        <v>1</v>
      </c>
    </row>
    <row r="23" customFormat="false" ht="16.4" hidden="false" customHeight="false" outlineLevel="0" collapsed="false">
      <c r="A23" s="7" t="s">
        <v>10</v>
      </c>
      <c r="B23" s="8"/>
      <c r="C23" s="9" t="n">
        <v>1</v>
      </c>
      <c r="D23" s="9" t="n">
        <v>-1.2</v>
      </c>
      <c r="E23" s="9" t="n">
        <v>-0.5</v>
      </c>
      <c r="F23" s="1" t="n">
        <v>0</v>
      </c>
      <c r="G23" s="9" t="n">
        <v>1</v>
      </c>
      <c r="H23" s="9" t="n">
        <v>-0.7</v>
      </c>
      <c r="I23" s="8" t="n">
        <f aca="false">$C23*$F23+$D23*$G23+$E23*$H23</f>
        <v>-0.85</v>
      </c>
      <c r="J23" s="9" t="n">
        <f aca="false">IF(I23&gt;=0,1,0)</f>
        <v>0</v>
      </c>
      <c r="K23" s="10" t="n">
        <f aca="false">IF(OR(AND(J23=1,A23="+"),AND(J23=0,A23="-")),1,0)</f>
        <v>1</v>
      </c>
    </row>
    <row r="24" customFormat="false" ht="16.4" hidden="false" customHeight="false" outlineLevel="0" collapsed="false">
      <c r="A24" s="7" t="s">
        <v>10</v>
      </c>
      <c r="B24" s="8"/>
      <c r="C24" s="9" t="n">
        <v>1</v>
      </c>
      <c r="D24" s="9" t="n">
        <v>-0.8</v>
      </c>
      <c r="E24" s="9" t="n">
        <v>1</v>
      </c>
      <c r="F24" s="1" t="n">
        <v>0</v>
      </c>
      <c r="G24" s="9" t="n">
        <v>1</v>
      </c>
      <c r="H24" s="9" t="n">
        <v>-0.7</v>
      </c>
      <c r="I24" s="8" t="n">
        <f aca="false">$C24*$F24+$D24*$G24+$E24*$H24</f>
        <v>-1.5</v>
      </c>
      <c r="J24" s="9" t="n">
        <f aca="false">IF(I24&gt;=0,1,0)</f>
        <v>0</v>
      </c>
      <c r="K24" s="10" t="n">
        <f aca="false">IF(OR(AND(J24=1,A24="+"),AND(J24=0,A24="-")),1,0)</f>
        <v>1</v>
      </c>
    </row>
    <row r="25" customFormat="false" ht="16.4" hidden="false" customHeight="false" outlineLevel="0" collapsed="false">
      <c r="A25" s="7" t="s">
        <v>10</v>
      </c>
      <c r="B25" s="8"/>
      <c r="C25" s="9" t="n">
        <v>1</v>
      </c>
      <c r="D25" s="9" t="n">
        <v>-0.3</v>
      </c>
      <c r="E25" s="9" t="n">
        <v>1.2</v>
      </c>
      <c r="F25" s="1" t="n">
        <v>0</v>
      </c>
      <c r="G25" s="9" t="n">
        <v>1</v>
      </c>
      <c r="H25" s="9" t="n">
        <v>-0.7</v>
      </c>
      <c r="I25" s="8" t="n">
        <f aca="false">$C25*$F25+$D25*$G25+$E25*$H25</f>
        <v>-1.14</v>
      </c>
      <c r="J25" s="9" t="n">
        <f aca="false">IF(I25&gt;=0,1,0)</f>
        <v>0</v>
      </c>
      <c r="K25" s="10" t="n">
        <f aca="false">IF(OR(AND(J25=1,A25="+"),AND(J25=0,A25="-")),1,0)</f>
        <v>1</v>
      </c>
    </row>
    <row r="26" customFormat="false" ht="16.4" hidden="false" customHeight="false" outlineLevel="0" collapsed="false">
      <c r="A26" s="7" t="s">
        <v>10</v>
      </c>
      <c r="B26" s="8"/>
      <c r="C26" s="9" t="n">
        <v>1</v>
      </c>
      <c r="D26" s="9" t="n">
        <v>-1.1</v>
      </c>
      <c r="E26" s="9" t="n">
        <v>0.5</v>
      </c>
      <c r="F26" s="1" t="n">
        <v>0</v>
      </c>
      <c r="G26" s="9" t="n">
        <v>1</v>
      </c>
      <c r="H26" s="9" t="n">
        <v>-0.7</v>
      </c>
      <c r="I26" s="8" t="n">
        <f aca="false">$C26*$F26+$D26*$G26+$E26*$H26</f>
        <v>-1.45</v>
      </c>
      <c r="J26" s="9" t="n">
        <f aca="false">IF(I26&gt;=0,1,0)</f>
        <v>0</v>
      </c>
      <c r="K26" s="10" t="n">
        <f aca="false">IF(OR(AND(J26=1,A26="+"),AND(J26=0,A26="-")),1,0)</f>
        <v>1</v>
      </c>
    </row>
    <row r="27" customFormat="false" ht="16.4" hidden="false" customHeight="false" outlineLevel="0" collapsed="false">
      <c r="A27" s="7" t="s">
        <v>11</v>
      </c>
      <c r="B27" s="8"/>
      <c r="C27" s="9" t="n">
        <v>1</v>
      </c>
      <c r="D27" s="9" t="n">
        <v>0.7</v>
      </c>
      <c r="E27" s="9" t="n">
        <v>0.7</v>
      </c>
      <c r="F27" s="1" t="n">
        <v>0</v>
      </c>
      <c r="G27" s="9" t="n">
        <v>1</v>
      </c>
      <c r="H27" s="9" t="n">
        <v>-0.7</v>
      </c>
      <c r="I27" s="8" t="n">
        <f aca="false">$C27*$F27+$D27*$G27+$E27*$H27</f>
        <v>0.21</v>
      </c>
      <c r="J27" s="9" t="n">
        <f aca="false">IF(I27&gt;=0,1,0)</f>
        <v>1</v>
      </c>
      <c r="K27" s="10" t="n">
        <f aca="false">IF(OR(AND(J27=1,A27="+"),AND(J27=0,A27="-")),1,0)</f>
        <v>1</v>
      </c>
      <c r="L27" s="16" t="s">
        <v>12</v>
      </c>
      <c r="M27" s="16" t="s">
        <v>13</v>
      </c>
      <c r="O27" s="16" t="s">
        <v>14</v>
      </c>
    </row>
    <row r="28" customFormat="false" ht="16.4" hidden="false" customHeight="false" outlineLevel="0" collapsed="false">
      <c r="A28" s="7" t="s">
        <v>11</v>
      </c>
      <c r="B28" s="8"/>
      <c r="C28" s="9" t="n">
        <v>1</v>
      </c>
      <c r="D28" s="9" t="n">
        <v>1.5</v>
      </c>
      <c r="E28" s="9" t="n">
        <v>1.4</v>
      </c>
      <c r="F28" s="1" t="n">
        <v>0</v>
      </c>
      <c r="G28" s="9" t="n">
        <v>1</v>
      </c>
      <c r="H28" s="9" t="n">
        <v>-0.7</v>
      </c>
      <c r="I28" s="8" t="n">
        <f aca="false">$C28*$F28+$D28*$G28+$E28*$H28</f>
        <v>0.52</v>
      </c>
      <c r="J28" s="9" t="n">
        <f aca="false">IF(I28&gt;=0,1,0)</f>
        <v>1</v>
      </c>
      <c r="K28" s="10" t="n">
        <f aca="false">IF(OR(AND(J28=1,A28="+"),AND(J28=0,A28="-")),1,0)</f>
        <v>1</v>
      </c>
      <c r="L28" s="0" t="n">
        <v>-2</v>
      </c>
      <c r="M28" s="16" t="n">
        <f aca="false">-(F$31+G$31*L28)/H$31</f>
        <v>-2.85714285714286</v>
      </c>
    </row>
    <row r="29" customFormat="false" ht="16.4" hidden="false" customHeight="false" outlineLevel="0" collapsed="false">
      <c r="A29" s="7" t="s">
        <v>11</v>
      </c>
      <c r="B29" s="8"/>
      <c r="C29" s="9" t="n">
        <v>1</v>
      </c>
      <c r="D29" s="9" t="n">
        <v>0.8</v>
      </c>
      <c r="E29" s="9" t="n">
        <v>-0.5</v>
      </c>
      <c r="F29" s="1" t="n">
        <v>0</v>
      </c>
      <c r="G29" s="9" t="n">
        <v>1</v>
      </c>
      <c r="H29" s="9" t="n">
        <v>-0.7</v>
      </c>
      <c r="I29" s="8" t="n">
        <f aca="false">$C29*$F29+$D29*$G29+$E29*$H29</f>
        <v>1.15</v>
      </c>
      <c r="J29" s="9" t="n">
        <f aca="false">IF(I29&gt;=0,1,0)</f>
        <v>1</v>
      </c>
      <c r="K29" s="10" t="n">
        <f aca="false">IF(OR(AND(J29=1,A29="+"),AND(J29=0,A29="-")),1,0)</f>
        <v>1</v>
      </c>
      <c r="L29" s="0" t="n">
        <v>-1.5</v>
      </c>
      <c r="M29" s="16" t="n">
        <f aca="false">-(F$31+G$31*L29)/H$31</f>
        <v>-2.14285714285714</v>
      </c>
    </row>
    <row r="30" customFormat="false" ht="16.4" hidden="false" customHeight="false" outlineLevel="0" collapsed="false">
      <c r="A30" s="7" t="s">
        <v>11</v>
      </c>
      <c r="B30" s="8"/>
      <c r="C30" s="9" t="n">
        <v>1</v>
      </c>
      <c r="D30" s="9" t="n">
        <v>-0.7</v>
      </c>
      <c r="E30" s="9" t="n">
        <v>-1.2</v>
      </c>
      <c r="F30" s="1" t="n">
        <v>0</v>
      </c>
      <c r="G30" s="9" t="n">
        <v>1</v>
      </c>
      <c r="H30" s="9" t="n">
        <v>-0.7</v>
      </c>
      <c r="I30" s="8" t="n">
        <f aca="false">$C30*$F30+$D30*$G30+$E30*$H30</f>
        <v>0.14</v>
      </c>
      <c r="J30" s="9" t="n">
        <f aca="false">IF(I30&gt;=0,1,0)</f>
        <v>1</v>
      </c>
      <c r="K30" s="10" t="n">
        <f aca="false">IF(OR(AND(J30=1,A30="+"),AND(J30=0,A30="-")),1,0)</f>
        <v>1</v>
      </c>
      <c r="L30" s="0" t="n">
        <v>-1</v>
      </c>
      <c r="M30" s="16" t="n">
        <f aca="false">-(F$31+G$31*L30)/H$31</f>
        <v>-1.42857142857143</v>
      </c>
    </row>
    <row r="31" customFormat="false" ht="16.4" hidden="false" customHeight="false" outlineLevel="0" collapsed="false">
      <c r="A31" s="11" t="s">
        <v>11</v>
      </c>
      <c r="B31" s="12"/>
      <c r="C31" s="13" t="n">
        <v>1</v>
      </c>
      <c r="D31" s="13" t="n">
        <v>0.7</v>
      </c>
      <c r="E31" s="13" t="n">
        <v>-1.9</v>
      </c>
      <c r="F31" s="1" t="n">
        <v>0</v>
      </c>
      <c r="G31" s="9" t="n">
        <v>1</v>
      </c>
      <c r="H31" s="9" t="n">
        <v>-0.7</v>
      </c>
      <c r="I31" s="12" t="n">
        <f aca="false">$C31*$F31+$D31*$G31+$E31*$H31</f>
        <v>2.03</v>
      </c>
      <c r="J31" s="13" t="n">
        <f aca="false">IF(I31&gt;=0,1,0)</f>
        <v>1</v>
      </c>
      <c r="K31" s="14" t="n">
        <f aca="false">IF(OR(AND(J31=1,A31="+"),AND(J31=0,A31="-")),1,0)</f>
        <v>1</v>
      </c>
      <c r="L31" s="0" t="n">
        <v>-0.5</v>
      </c>
      <c r="M31" s="16" t="n">
        <f aca="false">-(F$31+G$31*L31)/H$31</f>
        <v>-0.714285714285714</v>
      </c>
    </row>
    <row r="32" customFormat="false" ht="15" hidden="false" customHeight="false" outlineLevel="0" collapsed="false">
      <c r="L32" s="0" t="n">
        <v>0</v>
      </c>
      <c r="M32" s="16" t="n">
        <f aca="false">-(F$31+G$31*L32)/H$31</f>
        <v>0</v>
      </c>
    </row>
    <row r="33" customFormat="false" ht="15" hidden="false" customHeight="false" outlineLevel="0" collapsed="false">
      <c r="L33" s="0" t="n">
        <v>0.5</v>
      </c>
      <c r="M33" s="16" t="n">
        <f aca="false">-(F$31+G$31*L33)/H$31</f>
        <v>0.714285714285714</v>
      </c>
    </row>
    <row r="34" customFormat="false" ht="15" hidden="false" customHeight="false" outlineLevel="0" collapsed="false">
      <c r="L34" s="0" t="n">
        <v>1</v>
      </c>
      <c r="M34" s="16" t="n">
        <f aca="false">-(F$31+G$31*L34)/H$31</f>
        <v>1.42857142857143</v>
      </c>
    </row>
    <row r="35" customFormat="false" ht="15" hidden="false" customHeight="false" outlineLevel="0" collapsed="false">
      <c r="L35" s="0" t="n">
        <v>1.5</v>
      </c>
      <c r="M35" s="16" t="n">
        <f aca="false">-(F$31+G$31*L35)/H$31</f>
        <v>2.14285714285714</v>
      </c>
    </row>
    <row r="36" customFormat="false" ht="15" hidden="false" customHeight="false" outlineLevel="0" collapsed="false">
      <c r="L36" s="0" t="n">
        <v>2</v>
      </c>
      <c r="M36" s="16" t="n">
        <f aca="false">-(F$31+G$31*L36)/H$31</f>
        <v>2.85714285714286</v>
      </c>
    </row>
    <row r="58" customFormat="false" ht="15" hidden="false" customHeight="false" outlineLevel="0" collapsed="false">
      <c r="F58" s="1"/>
      <c r="G58" s="17"/>
      <c r="H58" s="17"/>
    </row>
  </sheetData>
  <conditionalFormatting sqref="J32:J1048576 K1:K31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2025-12-21T20:48:15Z</dcterms:created>
  <dc:creator>Быков Леонтий Дмитриевич</dc:creator>
  <dc:description/>
  <dc:language>ru-RU</dc:language>
  <cp:lastModifiedBy/>
  <dcterms:modified xsi:type="dcterms:W3CDTF">2025-12-27T16:40:34Z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